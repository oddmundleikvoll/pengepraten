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ånedlig budsjett" sheetId="1" state="visible" r:id="rId1"/>
    <sheet xmlns:r="http://schemas.openxmlformats.org/officeDocument/2006/relationships" name="Årsbudsjett" sheetId="2" state="visible" r:id="rId2"/>
    <sheet xmlns:r="http://schemas.openxmlformats.org/officeDocument/2006/relationships" name="Gjeldsbrems" sheetId="3" state="visible" r:id="rId3"/>
    <sheet xmlns:r="http://schemas.openxmlformats.org/officeDocument/2006/relationships" name="Spare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kr"/>
    <numFmt numFmtId="165" formatCode="mmm YYYY"/>
  </numFmts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1F4E79"/>
      <sz val="12"/>
    </font>
    <font>
      <b val="1"/>
      <sz val="14"/>
    </font>
    <font>
      <b val="1"/>
      <color rgb="00FFFFFF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2E7D32"/>
        <bgColor rgb="002E7D32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164" fontId="0" fillId="0" borderId="0" pivotButton="0" quotePrefix="0" xfId="0"/>
    <xf numFmtId="164" fontId="2" fillId="3" borderId="0" pivotButton="0" quotePrefix="0" xfId="0"/>
    <xf numFmtId="0" fontId="3" fillId="4" borderId="1" pivotButton="0" quotePrefix="0" xfId="0"/>
    <xf numFmtId="0" fontId="0" fillId="4" borderId="1" pivotButton="0" quotePrefix="0" xfId="0"/>
    <xf numFmtId="164" fontId="2" fillId="4" borderId="0" pivotButton="0" quotePrefix="0" xfId="0"/>
    <xf numFmtId="0" fontId="3" fillId="5" borderId="1" pivotButton="0" quotePrefix="0" xfId="0"/>
    <xf numFmtId="0" fontId="0" fillId="5" borderId="1" pivotButton="0" quotePrefix="0" xfId="0"/>
    <xf numFmtId="164" fontId="2" fillId="5" borderId="0" pivotButton="0" quotePrefix="0" xfId="0"/>
    <xf numFmtId="164" fontId="2" fillId="0" borderId="0" pivotButton="0" quotePrefix="0" xfId="0"/>
    <xf numFmtId="164" fontId="4" fillId="0" borderId="0" pivotButton="0" quotePrefix="0" xfId="0"/>
    <xf numFmtId="0" fontId="2" fillId="2" borderId="1" applyAlignment="1" pivotButton="0" quotePrefix="0" xfId="0">
      <alignment horizontal="center"/>
    </xf>
    <xf numFmtId="164" fontId="2" fillId="6" borderId="0" pivotButton="0" quotePrefix="0" xfId="0"/>
    <xf numFmtId="0" fontId="2" fillId="5" borderId="0" pivotButton="0" quotePrefix="0" xfId="0"/>
    <xf numFmtId="0" fontId="5" fillId="7" borderId="0" pivotButton="0" quotePrefix="0" xfId="0"/>
    <xf numFmtId="0" fontId="6" fillId="0" borderId="0" pivotButton="0" quotePrefix="0" xfId="0"/>
    <xf numFmtId="9" fontId="2" fillId="0" borderId="0" pivotButton="0" quotePrefix="0" xfId="0"/>
    <xf numFmtId="0" fontId="3" fillId="2" borderId="0" pivotButton="0" quotePrefix="0" xfId="0"/>
    <xf numFmtId="0" fontId="5" fillId="8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2" fillId="4" borderId="0" pivotButton="0" quotePrefix="0" xfId="0"/>
    <xf numFmtId="0" fontId="2" fillId="3" borderId="0" pivotButton="0" quotePrefix="0" xfId="0"/>
    <xf numFmtId="0" fontId="5" fillId="7" borderId="1" applyAlignment="1" pivotButton="0" quotePrefix="0" xfId="0">
      <alignment horizontal="center"/>
    </xf>
    <xf numFmtId="9" fontId="0" fillId="0" borderId="1" pivotButton="0" quotePrefix="0" xfId="0"/>
    <xf numFmtId="165" fontId="0" fillId="0" borderId="1" pivotButton="0" quotePrefix="0" xfId="0"/>
    <xf numFmtId="9" fontId="2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Pengepraten</author>
  </authors>
  <commentList>
    <comment ref="A5" authorId="0" shapeId="0">
      <text>
        <t>Din månedslønn etter skatt</t>
      </text>
    </comment>
    <comment ref="A6" authorId="0" shapeId="0">
      <text>
        <t>Ekstra inntekter denne måneden</t>
      </text>
    </comment>
    <comment ref="A8" authorId="0" shapeId="0">
      <text>
        <t>Barnebidrag, bostøtte, etc.</t>
      </text>
    </comment>
    <comment ref="A9" authorId="0" shapeId="0">
      <text>
        <t>Leieinntekt, utbytte, etc.</t>
      </text>
    </comment>
    <comment ref="A13" authorId="0" shapeId="0">
      <text>
        <t>Månedlig leie eller terminbeløp</t>
      </text>
    </comment>
    <comment ref="A14" authorId="0" shapeId="0">
      <text>
        <t>Gjennomsnittlig strømregning</t>
      </text>
    </comment>
    <comment ref="A15" authorId="0" shapeId="0">
      <text>
        <t>Bredbånd og TV-pakke</t>
      </text>
    </comment>
    <comment ref="A16" authorId="0" shapeId="0">
      <text>
        <t>Hus, bil, liv, reise</t>
      </text>
    </comment>
    <comment ref="A17" authorId="0" shapeId="0">
      <text>
        <t>Alle mobilabonnement i husholdningen</t>
      </text>
    </comment>
    <comment ref="A18" authorId="0" shapeId="0">
      <text>
        <t>Netflix, Spotify, etc.</t>
      </text>
    </comment>
    <comment ref="A19" authorId="0" shapeId="0">
      <text>
        <t>Avisabonnement, treningssenter, etc.</t>
      </text>
    </comment>
    <comment ref="A20" authorId="0" shapeId="0">
      <text>
        <t>Månedlig utgift</t>
      </text>
    </comment>
    <comment ref="A25" authorId="0" shapeId="0">
      <text>
        <t>Dagligvarer, takeaway, restaurant</t>
      </text>
    </comment>
    <comment ref="A26" authorId="0" shapeId="0">
      <text>
        <t>Bensin, billettar, vedlikehold</t>
      </text>
    </comment>
    <comment ref="A27" authorId="0" shapeId="0">
      <text>
        <t>Legemidler, egenandeler, briller</t>
      </text>
    </comment>
    <comment ref="A29" authorId="0" shapeId="0">
      <text>
        <t>Frisør, kosmetikk</t>
      </text>
    </comment>
    <comment ref="A30" authorId="0" shapeId="0">
      <text>
        <t>Kino, hobby, sport</t>
      </text>
    </comment>
    <comment ref="A31" authorId="0" shapeId="0">
      <text>
        <t>Bursdager, jul, etc.</t>
      </text>
    </comment>
    <comment ref="A32" authorId="0" shapeId="0">
      <text>
        <t>Uforutsette utgifter</t>
      </text>
    </comment>
    <comment ref="A36" authorId="0" shapeId="0">
      <text>
        <t>Nødfond - mål: 3-6 måneders utgifter</t>
      </text>
    </comment>
    <comment ref="A37" authorId="0" shapeId="0">
      <text>
        <t>Aksjer, fond, pensjon</t>
      </text>
    </comment>
    <comment ref="B45" authorId="0" shapeId="0">
      <text>
        <t>Grønn = positivt (bra!), Rød = negativt (sjekk utgiftene)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0" customWidth="1" min="3" max="3"/>
  </cols>
  <sheetData>
    <row r="1">
      <c r="A1" s="1" t="inlineStr">
        <is>
          <t>PENGEPRATEN.NO - MÅNEDLIG BUDSJETT</t>
        </is>
      </c>
    </row>
    <row r="2">
      <c r="A2" s="2" t="inlineStr">
        <is>
          <t>Måned:</t>
        </is>
      </c>
      <c r="B2" s="2" t="inlineStr">
        <is>
          <t>April 2026</t>
        </is>
      </c>
    </row>
    <row r="4">
      <c r="A4" s="3" t="inlineStr">
        <is>
          <t>INNTEKTER</t>
        </is>
      </c>
      <c r="B4" s="4" t="n"/>
      <c r="C4" s="4" t="n"/>
    </row>
    <row r="5">
      <c r="A5" t="inlineStr">
        <is>
          <t>Lønn (netto)</t>
        </is>
      </c>
      <c r="B5" s="5" t="n">
        <v>0</v>
      </c>
    </row>
    <row r="6">
      <c r="A6" t="inlineStr">
        <is>
          <t>Bonus/ekstrainntekt</t>
        </is>
      </c>
      <c r="B6" s="5" t="n">
        <v>0</v>
      </c>
    </row>
    <row r="7">
      <c r="A7" t="inlineStr">
        <is>
          <t>Barnetrygd</t>
        </is>
      </c>
      <c r="B7" s="5" t="n">
        <v>0</v>
      </c>
    </row>
    <row r="8">
      <c r="A8" t="inlineStr">
        <is>
          <t>Stønad/bidrag</t>
        </is>
      </c>
      <c r="B8" s="5" t="n">
        <v>0</v>
      </c>
    </row>
    <row r="9">
      <c r="A9" t="inlineStr">
        <is>
          <t>Annen inntekt</t>
        </is>
      </c>
      <c r="B9" s="5" t="n">
        <v>0</v>
      </c>
    </row>
    <row r="10">
      <c r="A10" s="2" t="inlineStr">
        <is>
          <t>SUM INNTEKTER</t>
        </is>
      </c>
      <c r="B10" s="6">
        <f>SUM(B5:B9)</f>
        <v/>
      </c>
    </row>
    <row r="12">
      <c r="A12" s="7" t="inlineStr">
        <is>
          <t>FASTE UTGIFTER</t>
        </is>
      </c>
      <c r="B12" s="8" t="n"/>
      <c r="C12" s="8" t="n"/>
    </row>
    <row r="13">
      <c r="A13" t="inlineStr">
        <is>
          <t>Husleie/huslån</t>
        </is>
      </c>
      <c r="B13" s="5" t="n">
        <v>0</v>
      </c>
    </row>
    <row r="14">
      <c r="A14" t="inlineStr">
        <is>
          <t>Strøm</t>
        </is>
      </c>
      <c r="B14" s="5" t="n">
        <v>0</v>
      </c>
    </row>
    <row r="15">
      <c r="A15" t="inlineStr">
        <is>
          <t>Internett/TV</t>
        </is>
      </c>
      <c r="B15" s="5" t="n">
        <v>0</v>
      </c>
    </row>
    <row r="16">
      <c r="A16" t="inlineStr">
        <is>
          <t>Forsikringer</t>
        </is>
      </c>
      <c r="B16" s="5" t="n">
        <v>0</v>
      </c>
    </row>
    <row r="17">
      <c r="A17" t="inlineStr">
        <is>
          <t>Mobilabonnement</t>
        </is>
      </c>
      <c r="B17" s="5" t="n">
        <v>0</v>
      </c>
    </row>
    <row r="18">
      <c r="A18" t="inlineStr">
        <is>
          <t>Strømmetjenester</t>
        </is>
      </c>
      <c r="B18" s="5" t="n">
        <v>0</v>
      </c>
    </row>
    <row r="19">
      <c r="A19" t="inlineStr">
        <is>
          <t>Aviser/medlemskap</t>
        </is>
      </c>
      <c r="B19" s="5" t="n">
        <v>0</v>
      </c>
    </row>
    <row r="20">
      <c r="A20" t="inlineStr">
        <is>
          <t>Barnehage/SFO</t>
        </is>
      </c>
      <c r="B20" s="5" t="n">
        <v>0</v>
      </c>
    </row>
    <row r="21">
      <c r="A21" t="inlineStr">
        <is>
          <t>Annen fast utgift</t>
        </is>
      </c>
      <c r="B21" s="5" t="n">
        <v>0</v>
      </c>
    </row>
    <row r="22">
      <c r="A22" s="2" t="inlineStr">
        <is>
          <t>SUM FASTE UTGIFTER</t>
        </is>
      </c>
      <c r="B22" s="9">
        <f>SUM(B13:B21)</f>
        <v/>
      </c>
    </row>
    <row r="24">
      <c r="A24" s="7" t="inlineStr">
        <is>
          <t>VARIABLE UTGIFTER</t>
        </is>
      </c>
      <c r="B24" s="8" t="n"/>
      <c r="C24" s="8" t="n"/>
    </row>
    <row r="25">
      <c r="A25" t="inlineStr">
        <is>
          <t>Mat og drikke</t>
        </is>
      </c>
      <c r="B25" s="5" t="n">
        <v>0</v>
      </c>
    </row>
    <row r="26">
      <c r="A26" t="inlineStr">
        <is>
          <t>Transport</t>
        </is>
      </c>
      <c r="B26" s="5" t="n">
        <v>0</v>
      </c>
    </row>
    <row r="27">
      <c r="A27" t="inlineStr">
        <is>
          <t>Helse</t>
        </is>
      </c>
      <c r="B27" s="5" t="n">
        <v>0</v>
      </c>
    </row>
    <row r="28">
      <c r="A28" t="inlineStr">
        <is>
          <t>Klær og sko</t>
        </is>
      </c>
      <c r="B28" s="5" t="n">
        <v>0</v>
      </c>
    </row>
    <row r="29">
      <c r="A29" t="inlineStr">
        <is>
          <t>Personlig pleie</t>
        </is>
      </c>
      <c r="B29" s="5" t="n">
        <v>0</v>
      </c>
    </row>
    <row r="30">
      <c r="A30" t="inlineStr">
        <is>
          <t>Fritid/underholdning</t>
        </is>
      </c>
      <c r="B30" s="5" t="n">
        <v>0</v>
      </c>
    </row>
    <row r="31">
      <c r="A31" t="inlineStr">
        <is>
          <t>Gaver</t>
        </is>
      </c>
      <c r="B31" s="5" t="n">
        <v>0</v>
      </c>
    </row>
    <row r="32">
      <c r="A32" t="inlineStr">
        <is>
          <t>Annet</t>
        </is>
      </c>
      <c r="B32" s="5" t="n">
        <v>0</v>
      </c>
    </row>
    <row r="33">
      <c r="A33" s="2" t="inlineStr">
        <is>
          <t>SUM VARIABLE UTGIFTER</t>
        </is>
      </c>
      <c r="B33" s="9">
        <f>SUM(B25:B32)</f>
        <v/>
      </c>
    </row>
    <row r="35">
      <c r="A35" s="10" t="inlineStr">
        <is>
          <t>SPARING</t>
        </is>
      </c>
      <c r="B35" s="11" t="n"/>
      <c r="C35" s="11" t="n"/>
    </row>
    <row r="36">
      <c r="A36" t="inlineStr">
        <is>
          <t>Bufferkonto</t>
        </is>
      </c>
      <c r="B36" s="5" t="n">
        <v>0</v>
      </c>
    </row>
    <row r="37">
      <c r="A37" t="inlineStr">
        <is>
          <t>Langsiktig sparing</t>
        </is>
      </c>
      <c r="B37" s="5" t="n">
        <v>0</v>
      </c>
    </row>
    <row r="38">
      <c r="A38" t="inlineStr">
        <is>
          <t>Spare til ferie</t>
        </is>
      </c>
      <c r="B38" s="5" t="n">
        <v>0</v>
      </c>
    </row>
    <row r="39">
      <c r="A39" t="inlineStr">
        <is>
          <t>Spare til bil/annet</t>
        </is>
      </c>
      <c r="B39" s="5" t="n">
        <v>0</v>
      </c>
    </row>
    <row r="40">
      <c r="A40" s="2" t="inlineStr">
        <is>
          <t>SUM SPARING</t>
        </is>
      </c>
      <c r="B40" s="12">
        <f>SUM(B36:B39)</f>
        <v/>
      </c>
    </row>
    <row r="43">
      <c r="A43" s="1" t="inlineStr">
        <is>
          <t>OPPSUMMERING</t>
        </is>
      </c>
    </row>
    <row r="44">
      <c r="A44" t="inlineStr">
        <is>
          <t>Totale utgifter:</t>
        </is>
      </c>
      <c r="B44" s="13">
        <f>B22+B33+B40</f>
        <v/>
      </c>
    </row>
    <row r="45">
      <c r="A45" s="2" t="inlineStr">
        <is>
          <t>Disponibelt (Inntekt - Utgifter):</t>
        </is>
      </c>
      <c r="B45" s="14">
        <f>B10-B44</f>
        <v/>
      </c>
    </row>
  </sheetData>
  <mergeCells count="1">
    <mergeCell ref="A1:C1"/>
  </mergeCells>
  <conditionalFormatting sqref="B45">
    <cfRule type="cellIs" priority="1" operator="greaterThan" dxfId="0">
      <formula>0</formula>
    </cfRule>
    <cfRule type="cellIs" priority="2" operator="lessThan" dxfId="1">
      <formula>0</formula>
    </cfRule>
    <cfRule type="cellIs" priority="3" operator="equal" dxfId="2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PENGEPRATEN.NO - ÅRSBUDSJETT</t>
        </is>
      </c>
    </row>
    <row r="2">
      <c r="A2" t="inlineStr">
        <is>
          <t>År:</t>
        </is>
      </c>
      <c r="B2" s="2" t="n">
        <v>2026</v>
      </c>
    </row>
    <row r="4">
      <c r="A4" s="15" t="inlineStr">
        <is>
          <t>Kategori</t>
        </is>
      </c>
      <c r="B4" s="15" t="inlineStr">
        <is>
          <t>Jan</t>
        </is>
      </c>
      <c r="C4" s="15" t="inlineStr">
        <is>
          <t>Feb</t>
        </is>
      </c>
      <c r="D4" s="15" t="inlineStr">
        <is>
          <t>Mar</t>
        </is>
      </c>
      <c r="E4" s="15" t="inlineStr">
        <is>
          <t>Apr</t>
        </is>
      </c>
      <c r="F4" s="15" t="inlineStr">
        <is>
          <t>Mai</t>
        </is>
      </c>
      <c r="G4" s="15" t="inlineStr">
        <is>
          <t>Jun</t>
        </is>
      </c>
      <c r="H4" s="15" t="inlineStr">
        <is>
          <t>Jul</t>
        </is>
      </c>
      <c r="I4" s="15" t="inlineStr">
        <is>
          <t>Aug</t>
        </is>
      </c>
      <c r="J4" s="15" t="inlineStr">
        <is>
          <t>Sep</t>
        </is>
      </c>
      <c r="K4" s="15" t="inlineStr">
        <is>
          <t>Okt</t>
        </is>
      </c>
      <c r="L4" s="15" t="inlineStr">
        <is>
          <t>Nov</t>
        </is>
      </c>
      <c r="M4" s="15" t="inlineStr">
        <is>
          <t>Des</t>
        </is>
      </c>
      <c r="N4" s="15" t="inlineStr">
        <is>
          <t>Totalt</t>
        </is>
      </c>
    </row>
    <row r="5">
      <c r="A5" s="2" t="inlineStr">
        <is>
          <t>Lønn og inntekter</t>
        </is>
      </c>
      <c r="N5" s="16">
        <f>SUM(B5:M5)</f>
        <v/>
      </c>
    </row>
    <row r="6">
      <c r="A6" s="2" t="inlineStr">
        <is>
          <t>Faste utgifter</t>
        </is>
      </c>
      <c r="N6" s="16">
        <f>SUM(B6:M6)</f>
        <v/>
      </c>
    </row>
    <row r="7">
      <c r="A7" s="2" t="inlineStr">
        <is>
          <t>Variable utgifter</t>
        </is>
      </c>
      <c r="N7" s="16">
        <f>SUM(B7:M7)</f>
        <v/>
      </c>
    </row>
    <row r="8">
      <c r="A8" s="2" t="inlineStr">
        <is>
          <t>Sparing</t>
        </is>
      </c>
      <c r="N8" s="16">
        <f>SUM(B8:M8)</f>
        <v/>
      </c>
    </row>
    <row r="9">
      <c r="A9" s="17" t="inlineStr">
        <is>
          <t>Resultat (Inntekt - Utgifter)</t>
        </is>
      </c>
      <c r="B9" s="13">
        <f>B5-B6-B7-B8</f>
        <v/>
      </c>
      <c r="C9" s="13">
        <f>C5-C6-C7-C8</f>
        <v/>
      </c>
      <c r="D9" s="13">
        <f>D5-D6-D7-D8</f>
        <v/>
      </c>
      <c r="E9" s="13">
        <f>E5-E6-E7-E8</f>
        <v/>
      </c>
      <c r="F9" s="13">
        <f>F5-F6-F7-F8</f>
        <v/>
      </c>
      <c r="G9" s="13">
        <f>G5-G6-G7-G8</f>
        <v/>
      </c>
      <c r="H9" s="13">
        <f>H5-H6-H7-H8</f>
        <v/>
      </c>
      <c r="I9" s="13">
        <f>I5-I6-I7-I8</f>
        <v/>
      </c>
      <c r="J9" s="13">
        <f>J5-J6-J7-J8</f>
        <v/>
      </c>
      <c r="K9" s="13">
        <f>K5-K6-K7-K8</f>
        <v/>
      </c>
      <c r="L9" s="13">
        <f>L5-L6-L7-L8</f>
        <v/>
      </c>
      <c r="M9" s="13">
        <f>M5-M6-M7-M8</f>
        <v/>
      </c>
      <c r="N9" s="16">
        <f>SUM(B9:M9)</f>
        <v/>
      </c>
    </row>
    <row r="12">
      <c r="A12" s="18" t="inlineStr">
        <is>
          <t>ÅRLIGE MÅL</t>
        </is>
      </c>
    </row>
    <row r="13">
      <c r="A13" t="inlineStr">
        <is>
          <t>Sparemål for året:</t>
        </is>
      </c>
      <c r="B13" s="5" t="n">
        <v>50000</v>
      </c>
      <c r="C13" s="19" t="inlineStr">
        <is>
          <t>(Endre til ditt mål)</t>
        </is>
      </c>
    </row>
    <row r="14">
      <c r="A14" t="inlineStr">
        <is>
          <t>Faktisk sparing (hittil):</t>
        </is>
      </c>
      <c r="B14" s="5">
        <f>SUM(B8:M8)</f>
        <v/>
      </c>
    </row>
    <row r="15">
      <c r="A15" t="inlineStr">
        <is>
          <t>Fremdrift:</t>
        </is>
      </c>
      <c r="B15" s="20">
        <f>B14/B13</f>
        <v/>
      </c>
    </row>
    <row r="17">
      <c r="A17" s="21" t="inlineStr">
        <is>
          <t>SNITT PER MÅNED</t>
        </is>
      </c>
    </row>
    <row r="18">
      <c r="A18" t="inlineStr">
        <is>
          <t>Inntekter:</t>
        </is>
      </c>
      <c r="B18" s="5">
        <f>N5/12</f>
        <v/>
      </c>
    </row>
    <row r="19">
      <c r="A19" t="inlineStr">
        <is>
          <t>Faste utgifter:</t>
        </is>
      </c>
      <c r="B19" s="5">
        <f>N6/12</f>
        <v/>
      </c>
    </row>
    <row r="20">
      <c r="A20" t="inlineStr">
        <is>
          <t>Variable utgifter:</t>
        </is>
      </c>
      <c r="B20" s="5">
        <f>N7/12</f>
        <v/>
      </c>
    </row>
    <row r="21">
      <c r="A21" t="inlineStr">
        <is>
          <t>Sparing:</t>
        </is>
      </c>
      <c r="B21" s="5">
        <f>N8/12</f>
        <v/>
      </c>
    </row>
    <row r="22">
      <c r="A22" t="inlineStr">
        <is>
          <t>Disponibelt:</t>
        </is>
      </c>
      <c r="B22" s="5">
        <f>N9/12</f>
        <v/>
      </c>
    </row>
  </sheetData>
  <mergeCells count="3">
    <mergeCell ref="A12:C12"/>
    <mergeCell ref="A17:C17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18" customWidth="1" min="4" max="4"/>
    <col width="18" customWidth="1" min="5" max="5"/>
    <col width="20" customWidth="1" min="6" max="6"/>
    <col width="18" customWidth="1" min="7" max="7"/>
  </cols>
  <sheetData>
    <row r="1">
      <c r="A1" s="1" t="inlineStr">
        <is>
          <t>PENGEPRATEN.NO - GJELDSBREMS</t>
        </is>
      </c>
    </row>
    <row r="2">
      <c r="A2" s="19" t="inlineStr">
        <is>
          <t>Få oversikt over gjelden din og se hvor fort du kan bli gjeldfri!</t>
        </is>
      </c>
    </row>
    <row r="4">
      <c r="A4" s="22" t="inlineStr">
        <is>
          <t>Gjeldstype</t>
        </is>
      </c>
      <c r="B4" s="22" t="inlineStr">
        <is>
          <t>Resterende beløp</t>
        </is>
      </c>
      <c r="C4" s="22" t="inlineStr">
        <is>
          <t>Årlig rente (%)</t>
        </is>
      </c>
      <c r="D4" s="22" t="inlineStr">
        <is>
          <t>Min. betaling/mnd</t>
        </is>
      </c>
      <c r="E4" s="22" t="inlineStr">
        <is>
          <t>Ekstra innbetaling</t>
        </is>
      </c>
      <c r="F4" s="22" t="inlineStr">
        <is>
          <t>Tid til nedbetaling</t>
        </is>
      </c>
      <c r="G4" s="22" t="inlineStr">
        <is>
          <t>Totalt betalt</t>
        </is>
      </c>
    </row>
    <row r="5">
      <c r="A5" s="23" t="inlineStr">
        <is>
          <t>Kredittkort 1</t>
        </is>
      </c>
      <c r="B5" s="24" t="n">
        <v>25000</v>
      </c>
      <c r="C5" s="25" t="n">
        <v>0.25</v>
      </c>
      <c r="D5" s="24" t="n">
        <v>750</v>
      </c>
      <c r="E5" s="24" t="n">
        <v>0</v>
      </c>
      <c r="F5" s="23">
        <f>IF(OR(B5=0,(D5+E5)=0),"Betalt!",ROUND(B5/(D5+E5),1))</f>
        <v/>
      </c>
      <c r="G5" s="24">
        <f>IF(B5=0,0,B5*1.2)</f>
        <v/>
      </c>
    </row>
    <row r="6">
      <c r="A6" s="23" t="inlineStr">
        <is>
          <t>Kredittkort 2</t>
        </is>
      </c>
      <c r="B6" s="24" t="n">
        <v>15000</v>
      </c>
      <c r="C6" s="25" t="n">
        <v>0.22</v>
      </c>
      <c r="D6" s="24" t="n">
        <v>500</v>
      </c>
      <c r="E6" s="24" t="n">
        <v>0</v>
      </c>
      <c r="F6" s="23">
        <f>IF(OR(B6=0,(D6+E6)=0),"Betalt!",ROUND(B6/(D6+E6),1))</f>
        <v/>
      </c>
      <c r="G6" s="24">
        <f>IF(B6=0,0,B6*1.2)</f>
        <v/>
      </c>
    </row>
    <row r="7">
      <c r="A7" s="23" t="inlineStr">
        <is>
          <t>Forbrukslån</t>
        </is>
      </c>
      <c r="B7" s="24" t="n">
        <v>100000</v>
      </c>
      <c r="C7" s="25" t="n">
        <v>0.15</v>
      </c>
      <c r="D7" s="24" t="n">
        <v>2500</v>
      </c>
      <c r="E7" s="24" t="n">
        <v>0</v>
      </c>
      <c r="F7" s="23">
        <f>IF(OR(B7=0,(D7+E7)=0),"Betalt!",ROUND(B7/(D7+E7),1))</f>
        <v/>
      </c>
      <c r="G7" s="24">
        <f>IF(B7=0,0,B7*1.2)</f>
        <v/>
      </c>
    </row>
    <row r="8">
      <c r="A8" s="23" t="inlineStr">
        <is>
          <t>Billån</t>
        </is>
      </c>
      <c r="B8" s="24" t="n">
        <v>150000</v>
      </c>
      <c r="C8" s="25" t="n">
        <v>0.07000000000000001</v>
      </c>
      <c r="D8" s="24" t="n">
        <v>3500</v>
      </c>
      <c r="E8" s="24" t="n">
        <v>0</v>
      </c>
      <c r="F8" s="23">
        <f>IF(OR(B8=0,(D8+E8)=0),"Betalt!",ROUND(B8/(D8+E8),1))</f>
        <v/>
      </c>
      <c r="G8" s="24">
        <f>IF(B8=0,0,B8*1.2)</f>
        <v/>
      </c>
    </row>
    <row r="9">
      <c r="A9" s="23" t="inlineStr">
        <is>
          <t>Studielån</t>
        </is>
      </c>
      <c r="B9" s="24" t="n">
        <v>200000</v>
      </c>
      <c r="C9" s="25" t="n">
        <v>0.05</v>
      </c>
      <c r="D9" s="24" t="n">
        <v>1500</v>
      </c>
      <c r="E9" s="24" t="n">
        <v>0</v>
      </c>
      <c r="F9" s="23">
        <f>IF(OR(B9=0,(D9+E9)=0),"Betalt!",ROUND(B9/(D9+E9),1))</f>
        <v/>
      </c>
      <c r="G9" s="24">
        <f>IF(B9=0,0,B9*1.2)</f>
        <v/>
      </c>
    </row>
    <row r="10">
      <c r="A10" s="23" t="inlineStr">
        <is>
          <t>Annet</t>
        </is>
      </c>
      <c r="B10" s="24" t="n">
        <v>0</v>
      </c>
      <c r="C10" s="25" t="n">
        <v>0</v>
      </c>
      <c r="D10" s="24" t="n">
        <v>0</v>
      </c>
      <c r="E10" s="24" t="n">
        <v>0</v>
      </c>
      <c r="F10" s="23">
        <f>IF(OR(B10=0,(D10+E10)=0),"Betalt!",ROUND(B10/(D10+E10),1))</f>
        <v/>
      </c>
      <c r="G10" s="24">
        <f>IF(B10=0,0,B10*1.2)</f>
        <v/>
      </c>
    </row>
    <row r="12">
      <c r="A12" s="26" t="inlineStr">
        <is>
          <t>TOTALT</t>
        </is>
      </c>
      <c r="B12" s="9">
        <f>SUM(B5:B10)</f>
        <v/>
      </c>
      <c r="D12" s="9">
        <f>SUM(D5:D10)</f>
        <v/>
      </c>
      <c r="E12" s="9">
        <f>SUM(E5:E10)</f>
        <v/>
      </c>
      <c r="G12" s="9">
        <f>SUM(G5:G10)</f>
        <v/>
      </c>
    </row>
    <row r="15">
      <c r="A15" s="18" t="inlineStr">
        <is>
          <t>NEDBETALINGSTRATEGI</t>
        </is>
      </c>
    </row>
    <row r="16">
      <c r="A16" s="2" t="inlineStr">
        <is>
          <t>Avalanchesmetoden (anbefalt):</t>
        </is>
      </c>
      <c r="B16" t="inlineStr">
        <is>
          <t>Betal minimum på alt, ekstra på høyeste rente først</t>
        </is>
      </c>
    </row>
    <row r="17">
      <c r="A17" s="2" t="inlineStr">
        <is>
          <t>Snøballmetoden:</t>
        </is>
      </c>
      <c r="B17" t="inlineStr">
        <is>
          <t>Betal minimum på alt, ekstra på minste lån først (motivasjon!)</t>
        </is>
      </c>
    </row>
    <row r="19">
      <c r="A19" s="17" t="inlineStr">
        <is>
          <t>Hvor mye raskere blir du gjeldfri med ekstra innbetalinger?</t>
        </is>
      </c>
    </row>
    <row r="20">
      <c r="A20" t="inlineStr">
        <is>
          <t>Månedlig ekstra innbetaling:</t>
        </is>
      </c>
      <c r="B20" s="5" t="n">
        <v>1000</v>
      </c>
      <c r="C20" t="inlineStr">
        <is>
          <t>Tid spart:</t>
        </is>
      </c>
      <c r="D20" s="27" t="inlineStr">
        <is>
          <t>~6-12 måneder</t>
        </is>
      </c>
    </row>
  </sheetData>
  <mergeCells count="6">
    <mergeCell ref="B16:G16"/>
    <mergeCell ref="A1:G1"/>
    <mergeCell ref="B17:G17"/>
    <mergeCell ref="A2:G2"/>
    <mergeCell ref="A15:G15"/>
    <mergeCell ref="A19:G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PENGEPRATEN.NO - SPAREPLAN</t>
        </is>
      </c>
    </row>
    <row r="2">
      <c r="A2" s="19" t="inlineStr">
        <is>
          <t>Sett deg mål, følg fremdrift, nå drømmene dine!</t>
        </is>
      </c>
    </row>
    <row r="4">
      <c r="A4" s="28" t="inlineStr">
        <is>
          <t>Sparemål</t>
        </is>
      </c>
      <c r="B4" s="28" t="inlineStr">
        <is>
          <t>Målbeløp</t>
        </is>
      </c>
      <c r="C4" s="28" t="inlineStr">
        <is>
          <t>Spart hittil</t>
        </is>
      </c>
      <c r="D4" s="28" t="inlineStr">
        <is>
          <t>Månedlig sparing</t>
        </is>
      </c>
      <c r="E4" s="28" t="inlineStr">
        <is>
          <t>Fremdrift (%)</t>
        </is>
      </c>
      <c r="F4" s="28" t="inlineStr">
        <is>
          <t>Est. ferdig</t>
        </is>
      </c>
    </row>
    <row r="5">
      <c r="A5" s="23" t="inlineStr">
        <is>
          <t>Bufferkonto (nødfond)</t>
        </is>
      </c>
      <c r="B5" s="24" t="n">
        <v>50000</v>
      </c>
      <c r="C5" s="24" t="n">
        <v>0</v>
      </c>
      <c r="D5" s="24" t="n">
        <v>2000</v>
      </c>
      <c r="E5" s="29">
        <f>IF(B5=0,0,C5/B5)</f>
        <v/>
      </c>
      <c r="F5" s="30">
        <f>IF(OR(D5=0,B5=0),"-",DATE(YEAR(TODAY()),MONTH(TODAY())+ROUNDUP((B5-C5)/D5,0),1))</f>
        <v/>
      </c>
    </row>
    <row r="6">
      <c r="A6" s="23" t="inlineStr">
        <is>
          <t>Feriekonto</t>
        </is>
      </c>
      <c r="B6" s="24" t="n">
        <v>30000</v>
      </c>
      <c r="C6" s="24" t="n">
        <v>5000</v>
      </c>
      <c r="D6" s="24" t="n">
        <v>1500</v>
      </c>
      <c r="E6" s="29">
        <f>IF(B6=0,0,C6/B6)</f>
        <v/>
      </c>
      <c r="F6" s="30">
        <f>IF(OR(D6=0,B6=0),"-",DATE(YEAR(TODAY()),MONTH(TODAY())+ROUNDUP((B6-C6)/D6,0),1))</f>
        <v/>
      </c>
    </row>
    <row r="7">
      <c r="A7" s="23" t="inlineStr">
        <is>
          <t>Ny bil</t>
        </is>
      </c>
      <c r="B7" s="24" t="n">
        <v>150000</v>
      </c>
      <c r="C7" s="24" t="n">
        <v>20000</v>
      </c>
      <c r="D7" s="24" t="n">
        <v>3000</v>
      </c>
      <c r="E7" s="29">
        <f>IF(B7=0,0,C7/B7)</f>
        <v/>
      </c>
      <c r="F7" s="30">
        <f>IF(OR(D7=0,B7=0),"-",DATE(YEAR(TODAY()),MONTH(TODAY())+ROUNDUP((B7-C7)/D7,0),1))</f>
        <v/>
      </c>
    </row>
    <row r="8">
      <c r="A8" s="23" t="inlineStr">
        <is>
          <t>Egenkapital bolig</t>
        </is>
      </c>
      <c r="B8" s="24" t="n">
        <v>300000</v>
      </c>
      <c r="C8" s="24" t="n">
        <v>50000</v>
      </c>
      <c r="D8" s="24" t="n">
        <v>5000</v>
      </c>
      <c r="E8" s="29">
        <f>IF(B8=0,0,C8/B8)</f>
        <v/>
      </c>
      <c r="F8" s="30">
        <f>IF(OR(D8=0,B8=0),"-",DATE(YEAR(TODAY()),MONTH(TODAY())+ROUNDUP((B8-C8)/D8,0),1))</f>
        <v/>
      </c>
    </row>
    <row r="9">
      <c r="A9" s="23" t="inlineStr">
        <is>
          <t>Langsiktig sparing</t>
        </is>
      </c>
      <c r="B9" s="24" t="n">
        <v>100000</v>
      </c>
      <c r="C9" s="24" t="n">
        <v>10000</v>
      </c>
      <c r="D9" s="24" t="n">
        <v>1000</v>
      </c>
      <c r="E9" s="29">
        <f>IF(B9=0,0,C9/B9)</f>
        <v/>
      </c>
      <c r="F9" s="30">
        <f>IF(OR(D9=0,B9=0),"-",DATE(YEAR(TODAY()),MONTH(TODAY())+ROUNDUP((B9-C9)/D9,0),1))</f>
        <v/>
      </c>
    </row>
    <row r="10">
      <c r="A10" s="23" t="inlineStr">
        <is>
          <t>Annet mål</t>
        </is>
      </c>
      <c r="B10" s="24" t="n">
        <v>0</v>
      </c>
      <c r="C10" s="24" t="n">
        <v>0</v>
      </c>
      <c r="D10" s="24" t="n">
        <v>0</v>
      </c>
      <c r="E10" s="29">
        <f>IF(B10=0,0,C10/B10)</f>
        <v/>
      </c>
      <c r="F10" s="30">
        <f>IF(OR(D10=0,B10=0),"-",DATE(YEAR(TODAY()),MONTH(TODAY())+ROUNDUP((B10-C10)/D10,0),1))</f>
        <v/>
      </c>
    </row>
    <row r="12">
      <c r="A12" s="27" t="inlineStr">
        <is>
          <t>TOTALT</t>
        </is>
      </c>
      <c r="B12" s="6">
        <f>SUM(B5:B10)</f>
        <v/>
      </c>
      <c r="C12" s="6">
        <f>SUM(C5:C10)</f>
        <v/>
      </c>
      <c r="D12" s="6">
        <f>SUM(D5:D10)</f>
        <v/>
      </c>
      <c r="E12" s="31">
        <f>IF(B12=0,0,C12/B12)</f>
        <v/>
      </c>
    </row>
    <row r="15">
      <c r="A15" s="21" t="inlineStr">
        <is>
          <t>TIPS FOR Å NÅ MÅLENE</t>
        </is>
      </c>
    </row>
    <row r="16">
      <c r="A16" t="inlineStr">
        <is>
          <t>🎯 Automatiser sparingen - sett opp fast trekk på lønningsdagen</t>
        </is>
      </c>
    </row>
    <row r="17">
      <c r="A17" t="inlineStr">
        <is>
          <t>📈 Prioriter bufferkonto først (3-6 måneders utgifter)</t>
        </is>
      </c>
    </row>
    <row r="18">
      <c r="A18" t="inlineStr">
        <is>
          <t>🏦 Bruk høyrentekonto til kortsiktige mål</t>
        </is>
      </c>
    </row>
    <row r="19">
      <c r="A19" t="inlineStr">
        <is>
          <t>📊 Gjennomgå spareplanen hver måned</t>
        </is>
      </c>
    </row>
    <row r="20">
      <c r="A20" t="inlineStr">
        <is>
          <t>🎉 Feire når du når delmål!</t>
        </is>
      </c>
    </row>
  </sheetData>
  <mergeCells count="8">
    <mergeCell ref="A2:F2"/>
    <mergeCell ref="A16:F16"/>
    <mergeCell ref="A19:F19"/>
    <mergeCell ref="A1:F1"/>
    <mergeCell ref="A17:F17"/>
    <mergeCell ref="A18:F18"/>
    <mergeCell ref="A20:F20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2026-04-09T09:43:51+00:00Z</dcterms:created>
  <dcterms:modified xmlns:dcterms="http://purl.org/dc/terms/" xmlns:xsi="http://www.w3.org/2001/XMLSchema-instance" xsi:type="dcterms:W3CDTF">2026-04-09T09:43:51+00:00Z</dcterms:modified>
</cp:coreProperties>
</file>